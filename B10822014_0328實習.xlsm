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2285"/>
  </bookViews>
  <sheets>
    <sheet name="工作表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" i="1" l="1"/>
  <c r="I1" i="1"/>
  <c r="G1" i="1"/>
  <c r="B1" i="1"/>
  <c r="E1" i="1" l="1"/>
</calcChain>
</file>

<file path=xl/sharedStrings.xml><?xml version="1.0" encoding="utf-8"?>
<sst xmlns="http://schemas.openxmlformats.org/spreadsheetml/2006/main" count="56" uniqueCount="56">
  <si>
    <t>藥局</t>
    <phoneticPr fontId="1" type="noConversion"/>
  </si>
  <si>
    <t>總和</t>
    <phoneticPr fontId="1" type="noConversion"/>
  </si>
  <si>
    <t>最大值</t>
    <phoneticPr fontId="1" type="noConversion"/>
  </si>
  <si>
    <t>最小值</t>
    <phoneticPr fontId="1" type="noConversion"/>
  </si>
  <si>
    <t>家樂福1號店</t>
    <phoneticPr fontId="1" type="noConversion"/>
  </si>
  <si>
    <t>台酒1號店</t>
    <phoneticPr fontId="1" type="noConversion"/>
  </si>
  <si>
    <t>全家1號店</t>
    <phoneticPr fontId="1" type="noConversion"/>
  </si>
  <si>
    <t>全聯1號店</t>
    <phoneticPr fontId="1" type="noConversion"/>
  </si>
  <si>
    <t>萊爾富1號店</t>
    <phoneticPr fontId="1" type="noConversion"/>
  </si>
  <si>
    <t>台糖1號店</t>
    <phoneticPr fontId="1" type="noConversion"/>
  </si>
  <si>
    <t>家樂福2號店</t>
  </si>
  <si>
    <t>台酒2號店</t>
  </si>
  <si>
    <t>全家2號店</t>
  </si>
  <si>
    <t>全聯2號店</t>
  </si>
  <si>
    <t>萊爾富2號店</t>
  </si>
  <si>
    <t>台糖2號店</t>
  </si>
  <si>
    <t>家樂福3號店</t>
  </si>
  <si>
    <t>台酒3號店</t>
  </si>
  <si>
    <t>全家3號店</t>
  </si>
  <si>
    <t>全聯3號店</t>
  </si>
  <si>
    <t>萊爾富3號店</t>
  </si>
  <si>
    <t>台糖3號店</t>
  </si>
  <si>
    <t>家樂福4號店</t>
  </si>
  <si>
    <t>台酒4號店</t>
  </si>
  <si>
    <t>全家4號店</t>
  </si>
  <si>
    <t>全聯4號店</t>
  </si>
  <si>
    <t>萊爾富4號店</t>
  </si>
  <si>
    <t>台糖4號店</t>
  </si>
  <si>
    <t>家樂福5號店</t>
  </si>
  <si>
    <t>台酒5號店</t>
  </si>
  <si>
    <t>全家5號店</t>
  </si>
  <si>
    <t>全聯5號店</t>
  </si>
  <si>
    <t>萊爾富5號店</t>
  </si>
  <si>
    <t>台糖5號店</t>
  </si>
  <si>
    <t>家樂福6號店</t>
  </si>
  <si>
    <t>台酒6號店</t>
  </si>
  <si>
    <t>全家6號店</t>
  </si>
  <si>
    <t>全聯6號店</t>
  </si>
  <si>
    <t>萊爾富6號店</t>
  </si>
  <si>
    <t>台糖6號店</t>
  </si>
  <si>
    <t>家樂福7號店</t>
  </si>
  <si>
    <t>台酒7號店</t>
  </si>
  <si>
    <t>全家7號店</t>
  </si>
  <si>
    <t>全聯7號店</t>
  </si>
  <si>
    <t>萊爾富7號店</t>
  </si>
  <si>
    <t>台糖7號店</t>
  </si>
  <si>
    <t>家樂福8號店</t>
  </si>
  <si>
    <t>台酒8號店</t>
  </si>
  <si>
    <t>全家8號店</t>
  </si>
  <si>
    <t>全聯8號店</t>
  </si>
  <si>
    <t>萊爾富8號店</t>
  </si>
  <si>
    <t>台糖8號店</t>
  </si>
  <si>
    <t>家樂福9號店</t>
  </si>
  <si>
    <t>中位數</t>
    <phoneticPr fontId="1" type="noConversion"/>
  </si>
  <si>
    <t>請搭配0328_Slide2最後一頁投影片</t>
    <phoneticPr fontId="1" type="noConversion"/>
  </si>
  <si>
    <t>請記得要在VAB程式打註解(Create By…..,以及用你理解的方式打程式註解),未打任何註解者0分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</si>
</sst>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 "/>
  </numFmts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FF0000"/>
      <name val="新細明體"/>
      <family val="2"/>
      <scheme val="minor"/>
    </font>
    <font>
      <b/>
      <sz val="11"/>
      <color theme="1"/>
      <name val="新細明體"/>
      <family val="1"/>
      <charset val="136"/>
      <scheme val="minor"/>
    </font>
    <font>
      <sz val="11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76" fontId="0" fillId="0" borderId="0" xfId="0" applyNumberFormat="1"/>
    <xf numFmtId="0" fontId="2" fillId="0" borderId="0" xfId="0" applyFont="1"/>
    <xf numFmtId="176" fontId="0" fillId="2" borderId="0" xfId="0" applyNumberFormat="1" applyFill="1"/>
    <xf numFmtId="0" fontId="3" fillId="0" borderId="0" xfId="0" applyFon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14</xdr:row>
          <xdr:rowOff>152400</xdr:rowOff>
        </xdr:from>
        <xdr:to>
          <xdr:col>16</xdr:col>
          <xdr:colOff>123825</xdr:colOff>
          <xdr:row>22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A-Z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352425</xdr:colOff>
          <xdr:row>4</xdr:row>
          <xdr:rowOff>95250</xdr:rowOff>
        </xdr:from>
        <xdr:to>
          <xdr:col>15</xdr:col>
          <xdr:colOff>180975</xdr:colOff>
          <xdr:row>11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Z-A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553"/>
  <sheetViews>
    <sheetView tabSelected="1" workbookViewId="0">
      <selection activeCell="K5" sqref="K5"/>
    </sheetView>
  </sheetViews>
  <sheetFormatPr defaultRowHeight="15.75" x14ac:dyDescent="0.25"/>
  <cols>
    <col min="1" max="1" width="16.42578125" customWidth="1"/>
  </cols>
  <sheetData>
    <row r="1" spans="1:13" x14ac:dyDescent="0.25">
      <c r="A1" t="s">
        <v>0</v>
      </c>
      <c r="B1" s="2">
        <f>SUM(XFC2:XFC50)</f>
        <v>0</v>
      </c>
      <c r="D1" t="s">
        <v>1</v>
      </c>
      <c r="E1" s="3">
        <f>SUM(B2:B414)</f>
        <v>26570.318803418799</v>
      </c>
      <c r="F1" t="s">
        <v>2</v>
      </c>
      <c r="G1" s="3">
        <f>MAX(B2:B50)</f>
        <v>936.95645909645896</v>
      </c>
      <c r="H1" t="s">
        <v>3</v>
      </c>
      <c r="I1" s="3">
        <f>MIN(B2:B50)</f>
        <v>3</v>
      </c>
      <c r="J1" t="s">
        <v>53</v>
      </c>
      <c r="K1" s="3">
        <f>MEDIAN(B2:B50)</f>
        <v>575.14349206349198</v>
      </c>
      <c r="M1" t="s">
        <v>55</v>
      </c>
    </row>
    <row r="2" spans="1:13" x14ac:dyDescent="0.25">
      <c r="A2" t="s">
        <v>11</v>
      </c>
      <c r="B2" s="1">
        <v>3</v>
      </c>
      <c r="M2" t="s">
        <v>54</v>
      </c>
    </row>
    <row r="3" spans="1:13" x14ac:dyDescent="0.25">
      <c r="A3" t="s">
        <v>14</v>
      </c>
      <c r="B3" s="1">
        <v>14.8777777777781</v>
      </c>
    </row>
    <row r="4" spans="1:13" x14ac:dyDescent="0.25">
      <c r="A4" t="s">
        <v>5</v>
      </c>
      <c r="B4" s="1">
        <v>30</v>
      </c>
    </row>
    <row r="5" spans="1:13" x14ac:dyDescent="0.25">
      <c r="A5" t="s">
        <v>13</v>
      </c>
      <c r="B5" s="1">
        <v>44.361111111111001</v>
      </c>
    </row>
    <row r="6" spans="1:13" x14ac:dyDescent="0.25">
      <c r="A6" t="s">
        <v>8</v>
      </c>
      <c r="B6" s="1">
        <v>50</v>
      </c>
      <c r="I6" s="4"/>
    </row>
    <row r="7" spans="1:13" x14ac:dyDescent="0.25">
      <c r="A7" t="s">
        <v>12</v>
      </c>
      <c r="B7" s="1">
        <v>88</v>
      </c>
    </row>
    <row r="8" spans="1:13" x14ac:dyDescent="0.25">
      <c r="A8" t="s">
        <v>16</v>
      </c>
      <c r="B8" s="1">
        <v>112</v>
      </c>
    </row>
    <row r="9" spans="1:13" x14ac:dyDescent="0.25">
      <c r="A9" t="s">
        <v>7</v>
      </c>
      <c r="B9" s="1">
        <v>134</v>
      </c>
    </row>
    <row r="10" spans="1:13" x14ac:dyDescent="0.25">
      <c r="A10" t="s">
        <v>9</v>
      </c>
      <c r="B10" s="1">
        <v>222</v>
      </c>
    </row>
    <row r="11" spans="1:13" x14ac:dyDescent="0.25">
      <c r="A11" t="s">
        <v>6</v>
      </c>
      <c r="B11" s="1">
        <v>299</v>
      </c>
    </row>
    <row r="12" spans="1:13" x14ac:dyDescent="0.25">
      <c r="A12" t="s">
        <v>10</v>
      </c>
      <c r="B12" s="1">
        <v>345</v>
      </c>
    </row>
    <row r="13" spans="1:13" x14ac:dyDescent="0.25">
      <c r="A13" t="s">
        <v>18</v>
      </c>
      <c r="B13" s="1">
        <v>377.79096459096399</v>
      </c>
    </row>
    <row r="14" spans="1:13" x14ac:dyDescent="0.25">
      <c r="A14" t="s">
        <v>19</v>
      </c>
      <c r="B14" s="1">
        <v>394.23700854700797</v>
      </c>
    </row>
    <row r="15" spans="1:13" x14ac:dyDescent="0.25">
      <c r="A15" t="s">
        <v>20</v>
      </c>
      <c r="B15" s="1">
        <v>410.68305250305201</v>
      </c>
    </row>
    <row r="16" spans="1:13" x14ac:dyDescent="0.25">
      <c r="A16" t="s">
        <v>21</v>
      </c>
      <c r="B16" s="1">
        <v>427.12909645909599</v>
      </c>
    </row>
    <row r="17" spans="1:2" x14ac:dyDescent="0.25">
      <c r="A17" t="s">
        <v>22</v>
      </c>
      <c r="B17" s="1">
        <v>443.57514041514003</v>
      </c>
    </row>
    <row r="18" spans="1:2" x14ac:dyDescent="0.25">
      <c r="A18" t="s">
        <v>23</v>
      </c>
      <c r="B18" s="1">
        <v>460.02118437118401</v>
      </c>
    </row>
    <row r="19" spans="1:2" x14ac:dyDescent="0.25">
      <c r="A19" t="s">
        <v>24</v>
      </c>
      <c r="B19" s="1">
        <v>476.46722832722799</v>
      </c>
    </row>
    <row r="20" spans="1:2" x14ac:dyDescent="0.25">
      <c r="A20" t="s">
        <v>25</v>
      </c>
      <c r="B20" s="1">
        <v>492.91327228327202</v>
      </c>
    </row>
    <row r="21" spans="1:2" x14ac:dyDescent="0.25">
      <c r="A21" t="s">
        <v>26</v>
      </c>
      <c r="B21" s="1">
        <v>509.359316239316</v>
      </c>
    </row>
    <row r="22" spans="1:2" x14ac:dyDescent="0.25">
      <c r="A22" t="s">
        <v>27</v>
      </c>
      <c r="B22" s="1">
        <v>525.80536019535998</v>
      </c>
    </row>
    <row r="23" spans="1:2" x14ac:dyDescent="0.25">
      <c r="A23" t="s">
        <v>28</v>
      </c>
      <c r="B23" s="1">
        <v>542.25140415140402</v>
      </c>
    </row>
    <row r="24" spans="1:2" x14ac:dyDescent="0.25">
      <c r="A24" t="s">
        <v>4</v>
      </c>
      <c r="B24" s="1">
        <v>555</v>
      </c>
    </row>
    <row r="25" spans="1:2" x14ac:dyDescent="0.25">
      <c r="A25" t="s">
        <v>29</v>
      </c>
      <c r="B25" s="1">
        <v>558.69744810744805</v>
      </c>
    </row>
    <row r="26" spans="1:2" x14ac:dyDescent="0.25">
      <c r="A26" t="s">
        <v>30</v>
      </c>
      <c r="B26" s="1">
        <v>575.14349206349198</v>
      </c>
    </row>
    <row r="27" spans="1:2" x14ac:dyDescent="0.25">
      <c r="A27" t="s">
        <v>31</v>
      </c>
      <c r="B27" s="1">
        <v>591.58953601953601</v>
      </c>
    </row>
    <row r="28" spans="1:2" x14ac:dyDescent="0.25">
      <c r="A28" t="s">
        <v>32</v>
      </c>
      <c r="B28" s="1">
        <v>608.03557997558005</v>
      </c>
    </row>
    <row r="29" spans="1:2" x14ac:dyDescent="0.25">
      <c r="A29" t="s">
        <v>33</v>
      </c>
      <c r="B29" s="1">
        <v>624.48162393162397</v>
      </c>
    </row>
    <row r="30" spans="1:2" x14ac:dyDescent="0.25">
      <c r="A30" t="s">
        <v>34</v>
      </c>
      <c r="B30" s="1">
        <v>640.92766788766801</v>
      </c>
    </row>
    <row r="31" spans="1:2" x14ac:dyDescent="0.25">
      <c r="A31" t="s">
        <v>35</v>
      </c>
      <c r="B31" s="1">
        <v>657.37371184371204</v>
      </c>
    </row>
    <row r="32" spans="1:2" x14ac:dyDescent="0.25">
      <c r="A32" t="s">
        <v>36</v>
      </c>
      <c r="B32" s="1">
        <v>673.81975579975597</v>
      </c>
    </row>
    <row r="33" spans="1:2" x14ac:dyDescent="0.25">
      <c r="A33" t="s">
        <v>37</v>
      </c>
      <c r="B33" s="1">
        <v>690.2657997558</v>
      </c>
    </row>
    <row r="34" spans="1:2" x14ac:dyDescent="0.25">
      <c r="A34" t="s">
        <v>38</v>
      </c>
      <c r="B34" s="1">
        <v>706.71184371184404</v>
      </c>
    </row>
    <row r="35" spans="1:2" x14ac:dyDescent="0.25">
      <c r="A35" t="s">
        <v>39</v>
      </c>
      <c r="B35" s="1">
        <v>723.15788766788796</v>
      </c>
    </row>
    <row r="36" spans="1:2" x14ac:dyDescent="0.25">
      <c r="A36" t="s">
        <v>40</v>
      </c>
      <c r="B36" s="1">
        <v>739.60393162393098</v>
      </c>
    </row>
    <row r="37" spans="1:2" x14ac:dyDescent="0.25">
      <c r="A37" t="s">
        <v>41</v>
      </c>
      <c r="B37" s="1">
        <v>756.04997557997604</v>
      </c>
    </row>
    <row r="38" spans="1:2" x14ac:dyDescent="0.25">
      <c r="A38" t="s">
        <v>42</v>
      </c>
      <c r="B38" s="1">
        <v>772.49601953601905</v>
      </c>
    </row>
    <row r="39" spans="1:2" x14ac:dyDescent="0.25">
      <c r="A39" t="s">
        <v>17</v>
      </c>
      <c r="B39" s="1">
        <v>777</v>
      </c>
    </row>
    <row r="40" spans="1:2" x14ac:dyDescent="0.25">
      <c r="A40" t="s">
        <v>43</v>
      </c>
      <c r="B40" s="1">
        <v>788.94206349206297</v>
      </c>
    </row>
    <row r="41" spans="1:2" x14ac:dyDescent="0.25">
      <c r="A41" t="s">
        <v>44</v>
      </c>
      <c r="B41" s="1">
        <v>805.38810744810701</v>
      </c>
    </row>
    <row r="42" spans="1:2" x14ac:dyDescent="0.25">
      <c r="A42" t="s">
        <v>45</v>
      </c>
      <c r="B42" s="1">
        <v>821.83415140415104</v>
      </c>
    </row>
    <row r="43" spans="1:2" x14ac:dyDescent="0.25">
      <c r="A43" t="s">
        <v>46</v>
      </c>
      <c r="B43" s="1">
        <v>838.28019536019497</v>
      </c>
    </row>
    <row r="44" spans="1:2" x14ac:dyDescent="0.25">
      <c r="A44" t="s">
        <v>47</v>
      </c>
      <c r="B44" s="1">
        <v>854.726239316239</v>
      </c>
    </row>
    <row r="45" spans="1:2" x14ac:dyDescent="0.25">
      <c r="A45" t="s">
        <v>48</v>
      </c>
      <c r="B45" s="1">
        <v>871.17228327228304</v>
      </c>
    </row>
    <row r="46" spans="1:2" x14ac:dyDescent="0.25">
      <c r="A46" t="s">
        <v>49</v>
      </c>
      <c r="B46" s="1">
        <v>887.61832722832696</v>
      </c>
    </row>
    <row r="47" spans="1:2" x14ac:dyDescent="0.25">
      <c r="A47" t="s">
        <v>15</v>
      </c>
      <c r="B47" s="1">
        <v>888</v>
      </c>
    </row>
    <row r="48" spans="1:2" x14ac:dyDescent="0.25">
      <c r="A48" t="s">
        <v>50</v>
      </c>
      <c r="B48" s="1">
        <v>904.064371184371</v>
      </c>
    </row>
    <row r="49" spans="1:2" x14ac:dyDescent="0.25">
      <c r="A49" t="s">
        <v>51</v>
      </c>
      <c r="B49" s="1">
        <v>920.51041514041503</v>
      </c>
    </row>
    <row r="50" spans="1:2" x14ac:dyDescent="0.25">
      <c r="A50" t="s">
        <v>52</v>
      </c>
      <c r="B50" s="1">
        <v>936.95645909645896</v>
      </c>
    </row>
    <row r="51" spans="1:2" x14ac:dyDescent="0.25">
      <c r="B51" s="1"/>
    </row>
    <row r="52" spans="1:2" x14ac:dyDescent="0.25">
      <c r="B52" s="1"/>
    </row>
    <row r="53" spans="1:2" x14ac:dyDescent="0.25">
      <c r="B53" s="1"/>
    </row>
    <row r="54" spans="1:2" x14ac:dyDescent="0.25">
      <c r="B54" s="1"/>
    </row>
    <row r="55" spans="1:2" x14ac:dyDescent="0.25">
      <c r="B55" s="1"/>
    </row>
    <row r="56" spans="1:2" x14ac:dyDescent="0.25">
      <c r="B56" s="1"/>
    </row>
    <row r="57" spans="1:2" x14ac:dyDescent="0.25">
      <c r="B57" s="1"/>
    </row>
    <row r="58" spans="1:2" x14ac:dyDescent="0.25">
      <c r="B58" s="1"/>
    </row>
    <row r="59" spans="1:2" x14ac:dyDescent="0.25">
      <c r="B59" s="1"/>
    </row>
    <row r="60" spans="1:2" x14ac:dyDescent="0.25">
      <c r="B60" s="1"/>
    </row>
    <row r="61" spans="1:2" x14ac:dyDescent="0.25">
      <c r="B61" s="1"/>
    </row>
    <row r="62" spans="1:2" x14ac:dyDescent="0.25">
      <c r="B62" s="1"/>
    </row>
    <row r="63" spans="1:2" x14ac:dyDescent="0.25">
      <c r="B63" s="1"/>
    </row>
    <row r="64" spans="1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</sheetData>
  <sortState ref="A2:B50">
    <sortCondition ref="B2:B50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酒精藥局由小至大排序">
                <anchor moveWithCells="1" sizeWithCells="1">
                  <from>
                    <xdr:col>11</xdr:col>
                    <xdr:colOff>114300</xdr:colOff>
                    <xdr:row>14</xdr:row>
                    <xdr:rowOff>152400</xdr:rowOff>
                  </from>
                  <to>
                    <xdr:col>16</xdr:col>
                    <xdr:colOff>123825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酒精藥局由大至小排序">
                <anchor moveWithCells="1" sizeWithCells="1">
                  <from>
                    <xdr:col>10</xdr:col>
                    <xdr:colOff>352425</xdr:colOff>
                    <xdr:row>4</xdr:row>
                    <xdr:rowOff>95250</xdr:rowOff>
                  </from>
                  <to>
                    <xdr:col>15</xdr:col>
                    <xdr:colOff>180975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2022-03-28T08:43:47Z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酒精藥局由大至小排序_1" visible="true" label="酒精藥局由大至小排序" imageMso="ListMacros" onAction="酒精藥局由大至小排序"/>
        <mso:button idQ="doc:酒精藥局由小至大排序_1" visible="true" label="酒精藥局由小至大排序" imageMso="ListMacros" onAction="酒精藥局由小至大排序"/>
      </mso:documentControls>
    </mso:qat>
  </mso:ribbon>
</mso:customUI>
</file>